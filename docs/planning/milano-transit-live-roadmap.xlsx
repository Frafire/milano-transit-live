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admap" sheetId="2" state="visible" r:id="rId4"/>
    <sheet name="Lists" sheetId="3" state="hidden" r:id="rId5"/>
  </sheets>
  <definedNames>
    <definedName function="false" hidden="true" localSheetId="1" name="_xlnm._FilterDatabase" vbProcedure="false">Roadmap!$A$4:$G$65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<sst xmlns="http://schemas.openxmlformats.org/spreadsheetml/2006/main" count="376" uniqueCount="145">
  <si>
    <t xml:space="preserve">Milano Transit Live — progress by phase</t>
  </si>
  <si>
    <t xml:space="preserve">Counts come from the Roadmap sheet.</t>
  </si>
  <si>
    <t xml:space="preserve">Phase</t>
  </si>
  <si>
    <t xml:space="preserve">Done</t>
  </si>
  <si>
    <t xml:space="preserve">In progress</t>
  </si>
  <si>
    <t xml:space="preserve">Next</t>
  </si>
  <si>
    <t xml:space="preserve">Planned</t>
  </si>
  <si>
    <t xml:space="preserve">Later</t>
  </si>
  <si>
    <t xml:space="preserve">Waiting on Giovanni</t>
  </si>
  <si>
    <t xml:space="preserve">Total</t>
  </si>
  <si>
    <t xml:space="preserve">% done</t>
  </si>
  <si>
    <t xml:space="preserve">0 Foundation</t>
  </si>
  <si>
    <t xml:space="preserve">1 M3 playable</t>
  </si>
  <si>
    <t xml:space="preserve">2 Calendar</t>
  </si>
  <si>
    <t xml:space="preserve">3 Analysis mode</t>
  </si>
  <si>
    <t xml:space="preserve">4 Metro in depth</t>
  </si>
  <si>
    <t xml:space="preserve">5 Buses</t>
  </si>
  <si>
    <t xml:space="preserve">6 Driver rules</t>
  </si>
  <si>
    <t xml:space="preserve">7 Trams</t>
  </si>
  <si>
    <t xml:space="preserve">Licenses &amp; hosting</t>
  </si>
  <si>
    <t xml:space="preserve">All phases</t>
  </si>
  <si>
    <t xml:space="preserve">Milano Transit Live — roadmap</t>
  </si>
  <si>
    <t xml:space="preserve">Edit Status and Who with the dropdowns. Add new rows at the bottom; the Summary updates by itself.</t>
  </si>
  <si>
    <t xml:space="preserve">#</t>
  </si>
  <si>
    <t xml:space="preserve">Area</t>
  </si>
  <si>
    <t xml:space="preserve">Item</t>
  </si>
  <si>
    <t xml:space="preserve">Status</t>
  </si>
  <si>
    <t xml:space="preserve">Who</t>
  </si>
  <si>
    <t xml:space="preserve">Notes</t>
  </si>
  <si>
    <t xml:space="preserve">Data</t>
  </si>
  <si>
    <t xml:space="preserve">ATM timetable (GTFS) loaded, service day 03:00–02:59</t>
  </si>
  <si>
    <t xml:space="preserve">Claude</t>
  </si>
  <si>
    <t xml:space="preserve">One weekday timetable used for Mon–Fri</t>
  </si>
  <si>
    <t xml:space="preserve">Map</t>
  </si>
  <si>
    <t xml:space="preserve">Satellite, Hybrid and OSM maps + rail tracks overlay</t>
  </si>
  <si>
    <t xml:space="preserve">Network</t>
  </si>
  <si>
    <t xml:space="preserve">Every metro, tram and bus vehicle moving as a dot from the timetable</t>
  </si>
  <si>
    <t xml:space="preserve">Trams and most buses only at timetable level</t>
  </si>
  <si>
    <t xml:space="preserve">30 s stop at every metro station, 15 s at bus stops</t>
  </si>
  <si>
    <t xml:space="preserve">Both</t>
  </si>
  <si>
    <t xml:space="preserve">M3</t>
  </si>
  <si>
    <t xml:space="preserve">All M3 tracks and junctions drawn from OpenStreetMap, right-hand running</t>
  </si>
  <si>
    <t xml:space="preserve">Porta Romana–Repubblica stacked tracks allowed to overlap</t>
  </si>
  <si>
    <t xml:space="preserve">San Donato rules: arrivals on platform 3, one train per tail, cab change, departures from 1/2 with 30 s–2 min wait</t>
  </si>
  <si>
    <t xml:space="preserve">0 tail clashes, 0 late departures</t>
  </si>
  <si>
    <t xml:space="preserve">Comasina terminal and 2 trains overnight in the tails of both termini</t>
  </si>
  <si>
    <t xml:space="preserve">One evening train waits 7 min on the arrival platform (no other place)</t>
  </si>
  <si>
    <t xml:space="preserve">Depot: through tracks, parking only on tracks ≥ 115 m, 15 km/h, one train per track</t>
  </si>
  <si>
    <t xml:space="preserve">20 parking places</t>
  </si>
  <si>
    <t xml:space="preserve">Test loop (anello di prova) on demand from every depot place</t>
  </si>
  <si>
    <t xml:space="preserve">20 of 20 places</t>
  </si>
  <si>
    <t xml:space="preserve">Real fleet: 24 trains with units, type and year</t>
  </si>
  <si>
    <t xml:space="preserve">Peak 23 trains at 07:32</t>
  </si>
  <si>
    <t xml:space="preserve">Platform labels 1–2–3, platform diagram, departure platform picker</t>
  </si>
  <si>
    <t xml:space="preserve">Player order: train from Rogoredo arrives on platform 2 and reverses there</t>
  </si>
  <si>
    <t xml:space="preserve">Only if platform 2 is free when ordered</t>
  </si>
  <si>
    <t xml:space="preserve">M4</t>
  </si>
  <si>
    <t xml:space="preserve">M4 tracks, San Cristoforo depot, real fleet 4401–4447</t>
  </si>
  <si>
    <t xml:space="preserve">M1</t>
  </si>
  <si>
    <t xml:space="preserve">M1 trains on real tracks (10 stop patterns), platforms</t>
  </si>
  <si>
    <t xml:space="preserve">Depot movements later</t>
  </si>
  <si>
    <t xml:space="preserve">Stations</t>
  </si>
  <si>
    <t xml:space="preserve">Station boards in Italian, "in arrivo", red "Servizio terminato"</t>
  </si>
  <si>
    <t xml:space="preserve">M3 in arrivo &lt; 1:30, M4 &lt; 30 s</t>
  </si>
  <si>
    <t xml:space="preserve">Buses</t>
  </si>
  <si>
    <t xml:space="preserve">Line 130: 7 buses, 18 m articulated, H stops</t>
  </si>
  <si>
    <t xml:space="preserve">Line 64: 11 buses, 12 m, ATM-style stop display + stop timetable</t>
  </si>
  <si>
    <t xml:space="preserve">Editor</t>
  </si>
  <si>
    <t xml:space="preserve">Track editor: track use, 5 signal types, draw missing tracks, export</t>
  </si>
  <si>
    <t xml:space="preserve">Your 7 M3 signals saved into the build</t>
  </si>
  <si>
    <t xml:space="preserve">Giovanni</t>
  </si>
  <si>
    <t xml:space="preserve">Game</t>
  </si>
  <si>
    <t xml:space="preserve">Admin / Player modes, M3 control panel with delay colours</t>
  </si>
  <si>
    <t xml:space="preserve">Mark the depot X tracks as "movements only, no parking"</t>
  </si>
  <si>
    <t xml:space="preserve">Send the export, Claude rebuilds</t>
  </si>
  <si>
    <t xml:space="preserve">Place the 2 stops on the anello di prova</t>
  </si>
  <si>
    <t xml:space="preserve">Signal type "stop"</t>
  </si>
  <si>
    <t xml:space="preserve">Project</t>
  </si>
  <si>
    <t xml:space="preserve">Public GitHub repo, project split into files</t>
  </si>
  <si>
    <t xml:space="preserve">Open from day one</t>
  </si>
  <si>
    <t xml:space="preserve">Automatic tests (tails, depot, late departures) run on every change</t>
  </si>
  <si>
    <t xml:space="preserve">Engine</t>
  </si>
  <si>
    <t xml:space="preserve">Live simulation engine in the browser (JavaScript, background worker)</t>
  </si>
  <si>
    <t xml:space="preserve">Replaces the precomputed day</t>
  </si>
  <si>
    <t xml:space="preserve">Signals</t>
  </si>
  <si>
    <t xml:space="preserve">Block sections built from your signals</t>
  </si>
  <si>
    <t xml:space="preserve">Junctions locked for a route before a train passes</t>
  </si>
  <si>
    <t xml:space="preserve">Player sees block signals and all signals</t>
  </si>
  <si>
    <t xml:space="preserve">Every delay records its cause (what should happen / what happened / why)</t>
  </si>
  <si>
    <t xml:space="preserve">First scenario: fault San Donato–Rogoredo</t>
  </si>
  <si>
    <t xml:space="preserve">Player controls: hold a train, turn back at Rogoredo, close a section, replacement bus</t>
  </si>
  <si>
    <t xml:space="preserve">Chiusura tratte</t>
  </si>
  <si>
    <t xml:space="preserve">Score: minutes of delay + runs cancelled</t>
  </si>
  <si>
    <t xml:space="preserve">No passenger model</t>
  </si>
  <si>
    <t xml:space="preserve">Real dates: Saturday, Sunday, holidays from the timetable feed</t>
  </si>
  <si>
    <t xml:space="preserve">Date picker replaces Lun–Ven</t>
  </si>
  <si>
    <t xml:space="preserve">Christmas, New Year's Eve and reduced-service days</t>
  </si>
  <si>
    <t xml:space="preserve">From your PDFs if the feed does not cover them</t>
  </si>
  <si>
    <t xml:space="preserve">Analysis</t>
  </si>
  <si>
    <t xml:space="preserve">Plan vs what happened, with the cause of every delay</t>
  </si>
  <si>
    <t xml:space="preserve">Indicators: gaps between trains, lateness, runs lost</t>
  </si>
  <si>
    <t xml:space="preserve">Compare two what-if runs and export a report</t>
  </si>
  <si>
    <t xml:space="preserve">M1 depots and terminal movements</t>
  </si>
  <si>
    <t xml:space="preserve">M2</t>
  </si>
  <si>
    <t xml:space="preserve">M2 tracks, terminals, depots, fleet</t>
  </si>
  <si>
    <t xml:space="preserve">Linate track use marks</t>
  </si>
  <si>
    <t xml:space="preserve">M5</t>
  </si>
  <si>
    <t xml:space="preserve">M5 tracks, terminals, depot, fleet</t>
  </si>
  <si>
    <t xml:space="preserve">Traffic model from open traffic data</t>
  </si>
  <si>
    <t xml:space="preserve">Check the traffic data license</t>
  </si>
  <si>
    <t xml:space="preserve">More lines with stop displays, bus breakdowns</t>
  </si>
  <si>
    <t xml:space="preserve">Drivers</t>
  </si>
  <si>
    <t xml:space="preserve">Shifts, breaks, driver change at the terminus, "no driver" events</t>
  </si>
  <si>
    <t xml:space="preserve">Advanced level</t>
  </si>
  <si>
    <t xml:space="preserve">Trams</t>
  </si>
  <si>
    <t xml:space="preserve">Tram tracks, street junctions, depots</t>
  </si>
  <si>
    <t xml:space="preserve">The biggest manual job</t>
  </si>
  <si>
    <t xml:space="preserve">License</t>
  </si>
  <si>
    <t xml:space="preserve">Code under GPL-3.0</t>
  </si>
  <si>
    <t xml:space="preserve">Copies must stay open source</t>
  </si>
  <si>
    <t xml:space="preserve">Credits: Comune di Milano timetable, OpenStreetMap (ODbL), Esri, CARTO</t>
  </si>
  <si>
    <t xml:space="preserve">Check the GTFS dataset license line once</t>
  </si>
  <si>
    <t xml:space="preserve">"Unofficial, not affiliated with ATM", no ATM logo</t>
  </si>
  <si>
    <t xml:space="preserve">Free ArcGIS Developer account for satellite imagery</t>
  </si>
  <si>
    <t xml:space="preserve">No ads, &lt; 1 million tiles a month</t>
  </si>
  <si>
    <t xml:space="preserve">Satellite imagery only over Lombardy, street map elsewhere</t>
  </si>
  <si>
    <t xml:space="preserve">Cuts tile use</t>
  </si>
  <si>
    <t xml:space="preserve">Free CARTO key for the street map</t>
  </si>
  <si>
    <t xml:space="preserve">Non-commercial, 5 million tiles a month</t>
  </si>
  <si>
    <t xml:space="preserve">Hosting</t>
  </si>
  <si>
    <t xml:space="preserve">Host free on GitHub Pages, no ads, no money inside</t>
  </si>
  <si>
    <t xml:space="preserve">ZUB San Donato–Rogoredo (one train per track between stations)</t>
  </si>
  <si>
    <t xml:space="preserve">Close San Donato–Rogoredo: trains stop, San Donato holds, short turns at Rogoredo</t>
  </si>
  <si>
    <t xml:space="preserve">Reopening still jumps back to the timetable</t>
  </si>
  <si>
    <t xml:space="preserve">Live engine steps 1–2: network export, physics following the plan</t>
  </si>
  <si>
    <t xml:space="preserve">0 runs late</t>
  </si>
  <si>
    <t xml:space="preserve">Pixel-art M3 signals (red / red + white / white)</t>
  </si>
  <si>
    <t xml:space="preserve">Reopening a closed section with real recovery</t>
  </si>
  <si>
    <t xml:space="preserve">Traction from power and mass (2080 kW, 163–265 t), load by time of day</t>
  </si>
  <si>
    <t xml:space="preserve">From the Wikipedia data Giovanni sent</t>
  </si>
  <si>
    <t xml:space="preserve">Line speed limits: 80 km/h only San Donato–Rogoredo, rest to confirm</t>
  </si>
  <si>
    <t xml:space="preserve">Turnback points: Maciachini, Sondrio, Centrale FS, Repubblica, Porta Romana, Lodi TIBB, Brenta (towards Comasina only), Rogoredo FS</t>
  </si>
  <si>
    <t xml:space="preserve">docs/m3-turnback-points.md</t>
  </si>
  <si>
    <t xml:space="preserve">Close any section between two turnback points (Lodi–Rogoredo, Lodi–San Donato, Porta Romana–Repubblica, ...) with shuttles on both sides</t>
  </si>
  <si>
    <t xml:space="preserve">Compute every possibility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</si>
</sst>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C"/>
          <bgColor rgb="FF000000"/>
        </patternFill>
      </fill>
    </dxf>
    <dxf>
      <fill>
        <patternFill patternType="solid">
          <fgColor rgb="FFE3ECF7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AD9D5"/>
          <bgColor rgb="FF000000"/>
        </patternFill>
      </fill>
    </dxf>
    <dxf>
      <fill>
        <patternFill patternType="solid">
          <fgColor rgb="FFFFE08A"/>
          <bgColor rgb="FF000000"/>
        </patternFill>
      </fill>
    </dxf>
    <dxf>
      <fill>
        <patternFill>
          <bgColor rgb="FFD9F0DC"/>
        </patternFill>
      </fill>
    </dxf>
    <dxf>
      <fill>
        <patternFill>
          <bgColor rgb="FFFFF1C2"/>
        </patternFill>
      </fill>
    </dxf>
    <dxf>
      <fill>
        <patternFill>
          <bgColor rgb="FFFFE08A"/>
        </patternFill>
      </fill>
    </dxf>
    <dxf>
      <fill>
        <patternFill>
          <bgColor rgb="FFE3ECF7"/>
        </patternFill>
      </fill>
    </dxf>
    <dxf>
      <fill>
        <patternFill>
          <bgColor rgb="FFEFEFEF"/>
        </patternFill>
      </fill>
    </dxf>
    <dxf>
      <fill>
        <patternFill>
          <bgColor rgb="FFFAD9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2"/>
      <rgbColor rgb="FFE3EC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DC"/>
      <rgbColor rgb="FFFAD9D5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n">
        <f aca="false">COUNTIFS(Roadmap!$B$5:$B$300,$A5,Roadmap!$E$5:$E$300,"Done")</f>
        <v>20</v>
      </c>
      <c r="C5" s="5" t="n">
        <f aca="false">COUNTIFS(Roadmap!$B$5:$B$300,$A5,Roadmap!$E$5:$E$300,"In progress")</f>
        <v>0</v>
      </c>
      <c r="D5" s="5" t="n">
        <f aca="false">COUNTIFS(Roadmap!$B$5:$B$300,$A5,Roadmap!$E$5:$E$300,"Next")</f>
        <v>0</v>
      </c>
      <c r="E5" s="5" t="n">
        <f aca="false">COUNTIFS(Roadmap!$B$5:$B$300,$A5,Roadmap!$E$5:$E$300,"Planned")</f>
        <v>0</v>
      </c>
      <c r="F5" s="5" t="n">
        <f aca="false">COUNTIFS(Roadmap!$B$5:$B$300,$A5,Roadmap!$E$5:$E$300,"Later")</f>
        <v>0</v>
      </c>
      <c r="G5" s="5" t="n">
        <f aca="false">COUNTIFS(Roadmap!$B$5:$B$300,$A5,Roadmap!$E$5:$E$300,"Waiting on Giovanni")</f>
        <v>2</v>
      </c>
      <c r="H5" s="5" t="n">
        <f aca="false">COUNTIF(Roadmap!$B$5:$B$300,$A5)</f>
        <v>22</v>
      </c>
      <c r="I5" s="6" t="n">
        <f aca="false">IF(H5=0,0,B5/H5)</f>
        <v>0.909090909090909</v>
      </c>
    </row>
    <row r="6" customFormat="false" ht="15" hidden="false" customHeight="true" outlineLevel="0" collapsed="false">
      <c r="A6" s="5" t="s">
        <v>12</v>
      </c>
      <c r="B6" s="5" t="n">
        <f aca="false">COUNTIFS(Roadmap!$B$5:$B$300,$A6,Roadmap!$E$5:$E$300,"Done")</f>
        <v>4</v>
      </c>
      <c r="C6" s="5" t="n">
        <f aca="false">COUNTIFS(Roadmap!$B$5:$B$300,$A6,Roadmap!$E$5:$E$300,"In progress")</f>
        <v>0</v>
      </c>
      <c r="D6" s="5" t="n">
        <f aca="false">COUNTIFS(Roadmap!$B$5:$B$300,$A6,Roadmap!$E$5:$E$300,"Next")</f>
        <v>4</v>
      </c>
      <c r="E6" s="5" t="n">
        <f aca="false">COUNTIFS(Roadmap!$B$5:$B$300,$A6,Roadmap!$E$5:$E$300,"Planned")</f>
        <v>10</v>
      </c>
      <c r="F6" s="5" t="n">
        <f aca="false">COUNTIFS(Roadmap!$B$5:$B$300,$A6,Roadmap!$E$5:$E$300,"Later")</f>
        <v>0</v>
      </c>
      <c r="G6" s="5" t="n">
        <f aca="false">COUNTIFS(Roadmap!$B$5:$B$300,$A6,Roadmap!$E$5:$E$300,"Waiting on Giovanni")</f>
        <v>1</v>
      </c>
      <c r="H6" s="5" t="n">
        <f aca="false">COUNTIF(Roadmap!$B$5:$B$300,$A6)</f>
        <v>19</v>
      </c>
      <c r="I6" s="6" t="n">
        <f aca="false">IF(H6=0,0,B6/H6)</f>
        <v>0.210526315789474</v>
      </c>
    </row>
    <row r="7" customFormat="false" ht="15" hidden="false" customHeight="true" outlineLevel="0" collapsed="false">
      <c r="A7" s="5" t="s">
        <v>13</v>
      </c>
      <c r="B7" s="5" t="n">
        <f aca="false">COUNTIFS(Roadmap!$B$5:$B$300,$A7,Roadmap!$E$5:$E$300,"Done")</f>
        <v>0</v>
      </c>
      <c r="C7" s="5" t="n">
        <f aca="false">COUNTIFS(Roadmap!$B$5:$B$300,$A7,Roadmap!$E$5:$E$300,"In progress")</f>
        <v>0</v>
      </c>
      <c r="D7" s="5" t="n">
        <f aca="false">COUNTIFS(Roadmap!$B$5:$B$300,$A7,Roadmap!$E$5:$E$300,"Next")</f>
        <v>0</v>
      </c>
      <c r="E7" s="5" t="n">
        <f aca="false">COUNTIFS(Roadmap!$B$5:$B$300,$A7,Roadmap!$E$5:$E$300,"Planned")</f>
        <v>2</v>
      </c>
      <c r="F7" s="5" t="n">
        <f aca="false">COUNTIFS(Roadmap!$B$5:$B$300,$A7,Roadmap!$E$5:$E$300,"Later")</f>
        <v>0</v>
      </c>
      <c r="G7" s="5" t="n">
        <f aca="false">COUNTIFS(Roadmap!$B$5:$B$300,$A7,Roadmap!$E$5:$E$300,"Waiting on Giovanni")</f>
        <v>0</v>
      </c>
      <c r="H7" s="5" t="n">
        <f aca="false">COUNTIF(Roadmap!$B$5:$B$300,$A7)</f>
        <v>2</v>
      </c>
      <c r="I7" s="6" t="n">
        <f aca="false">IF(H7=0,0,B7/H7)</f>
        <v>0</v>
      </c>
    </row>
    <row r="8" customFormat="false" ht="15" hidden="false" customHeight="true" outlineLevel="0" collapsed="false">
      <c r="A8" s="5" t="s">
        <v>14</v>
      </c>
      <c r="B8" s="5" t="n">
        <f aca="false">COUNTIFS(Roadmap!$B$5:$B$300,$A8,Roadmap!$E$5:$E$300,"Done")</f>
        <v>0</v>
      </c>
      <c r="C8" s="5" t="n">
        <f aca="false">COUNTIFS(Roadmap!$B$5:$B$300,$A8,Roadmap!$E$5:$E$300,"In progress")</f>
        <v>0</v>
      </c>
      <c r="D8" s="5" t="n">
        <f aca="false">COUNTIFS(Roadmap!$B$5:$B$300,$A8,Roadmap!$E$5:$E$300,"Next")</f>
        <v>0</v>
      </c>
      <c r="E8" s="5" t="n">
        <f aca="false">COUNTIFS(Roadmap!$B$5:$B$300,$A8,Roadmap!$E$5:$E$300,"Planned")</f>
        <v>3</v>
      </c>
      <c r="F8" s="5" t="n">
        <f aca="false">COUNTIFS(Roadmap!$B$5:$B$300,$A8,Roadmap!$E$5:$E$300,"Later")</f>
        <v>0</v>
      </c>
      <c r="G8" s="5" t="n">
        <f aca="false">COUNTIFS(Roadmap!$B$5:$B$300,$A8,Roadmap!$E$5:$E$300,"Waiting on Giovanni")</f>
        <v>0</v>
      </c>
      <c r="H8" s="5" t="n">
        <f aca="false">COUNTIF(Roadmap!$B$5:$B$300,$A8)</f>
        <v>3</v>
      </c>
      <c r="I8" s="6" t="n">
        <f aca="false">IF(H8=0,0,B8/H8)</f>
        <v>0</v>
      </c>
    </row>
    <row r="9" customFormat="false" ht="15" hidden="false" customHeight="true" outlineLevel="0" collapsed="false">
      <c r="A9" s="5" t="s">
        <v>15</v>
      </c>
      <c r="B9" s="5" t="n">
        <f aca="false">COUNTIFS(Roadmap!$B$5:$B$300,$A9,Roadmap!$E$5:$E$300,"Done")</f>
        <v>0</v>
      </c>
      <c r="C9" s="5" t="n">
        <f aca="false">COUNTIFS(Roadmap!$B$5:$B$300,$A9,Roadmap!$E$5:$E$300,"In progress")</f>
        <v>0</v>
      </c>
      <c r="D9" s="5" t="n">
        <f aca="false">COUNTIFS(Roadmap!$B$5:$B$300,$A9,Roadmap!$E$5:$E$300,"Next")</f>
        <v>0</v>
      </c>
      <c r="E9" s="5" t="n">
        <f aca="false">COUNTIFS(Roadmap!$B$5:$B$300,$A9,Roadmap!$E$5:$E$300,"Planned")</f>
        <v>0</v>
      </c>
      <c r="F9" s="5" t="n">
        <f aca="false">COUNTIFS(Roadmap!$B$5:$B$300,$A9,Roadmap!$E$5:$E$300,"Later")</f>
        <v>3</v>
      </c>
      <c r="G9" s="5" t="n">
        <f aca="false">COUNTIFS(Roadmap!$B$5:$B$300,$A9,Roadmap!$E$5:$E$300,"Waiting on Giovanni")</f>
        <v>1</v>
      </c>
      <c r="H9" s="5" t="n">
        <f aca="false">COUNTIF(Roadmap!$B$5:$B$300,$A9)</f>
        <v>4</v>
      </c>
      <c r="I9" s="6" t="n">
        <f aca="false">IF(H9=0,0,B9/H9)</f>
        <v>0</v>
      </c>
    </row>
    <row r="10" customFormat="false" ht="15" hidden="false" customHeight="true" outlineLevel="0" collapsed="false">
      <c r="A10" s="5" t="s">
        <v>16</v>
      </c>
      <c r="B10" s="5" t="n">
        <f aca="false">COUNTIFS(Roadmap!$B$5:$B$300,$A10,Roadmap!$E$5:$E$300,"Done")</f>
        <v>0</v>
      </c>
      <c r="C10" s="5" t="n">
        <f aca="false">COUNTIFS(Roadmap!$B$5:$B$300,$A10,Roadmap!$E$5:$E$300,"In progress")</f>
        <v>0</v>
      </c>
      <c r="D10" s="5" t="n">
        <f aca="false">COUNTIFS(Roadmap!$B$5:$B$300,$A10,Roadmap!$E$5:$E$300,"Next")</f>
        <v>0</v>
      </c>
      <c r="E10" s="5" t="n">
        <f aca="false">COUNTIFS(Roadmap!$B$5:$B$300,$A10,Roadmap!$E$5:$E$300,"Planned")</f>
        <v>0</v>
      </c>
      <c r="F10" s="5" t="n">
        <f aca="false">COUNTIFS(Roadmap!$B$5:$B$300,$A10,Roadmap!$E$5:$E$300,"Later")</f>
        <v>2</v>
      </c>
      <c r="G10" s="5" t="n">
        <f aca="false">COUNTIFS(Roadmap!$B$5:$B$300,$A10,Roadmap!$E$5:$E$300,"Waiting on Giovanni")</f>
        <v>0</v>
      </c>
      <c r="H10" s="5" t="n">
        <f aca="false">COUNTIF(Roadmap!$B$5:$B$300,$A10)</f>
        <v>2</v>
      </c>
      <c r="I10" s="6" t="n">
        <f aca="false">IF(H10=0,0,B10/H10)</f>
        <v>0</v>
      </c>
    </row>
    <row r="11" customFormat="false" ht="15" hidden="false" customHeight="true" outlineLevel="0" collapsed="false">
      <c r="A11" s="5" t="s">
        <v>17</v>
      </c>
      <c r="B11" s="5" t="n">
        <f aca="false">COUNTIFS(Roadmap!$B$5:$B$300,$A11,Roadmap!$E$5:$E$300,"Done")</f>
        <v>0</v>
      </c>
      <c r="C11" s="5" t="n">
        <f aca="false">COUNTIFS(Roadmap!$B$5:$B$300,$A11,Roadmap!$E$5:$E$300,"In progress")</f>
        <v>0</v>
      </c>
      <c r="D11" s="5" t="n">
        <f aca="false">COUNTIFS(Roadmap!$B$5:$B$300,$A11,Roadmap!$E$5:$E$300,"Next")</f>
        <v>0</v>
      </c>
      <c r="E11" s="5" t="n">
        <f aca="false">COUNTIFS(Roadmap!$B$5:$B$300,$A11,Roadmap!$E$5:$E$300,"Planned")</f>
        <v>0</v>
      </c>
      <c r="F11" s="5" t="n">
        <f aca="false">COUNTIFS(Roadmap!$B$5:$B$300,$A11,Roadmap!$E$5:$E$300,"Later")</f>
        <v>1</v>
      </c>
      <c r="G11" s="5" t="n">
        <f aca="false">COUNTIFS(Roadmap!$B$5:$B$300,$A11,Roadmap!$E$5:$E$300,"Waiting on Giovanni")</f>
        <v>0</v>
      </c>
      <c r="H11" s="5" t="n">
        <f aca="false">COUNTIF(Roadmap!$B$5:$B$300,$A11)</f>
        <v>1</v>
      </c>
      <c r="I11" s="6" t="n">
        <f aca="false">IF(H11=0,0,B11/H11)</f>
        <v>0</v>
      </c>
    </row>
    <row r="12" customFormat="false" ht="15" hidden="false" customHeight="true" outlineLevel="0" collapsed="false">
      <c r="A12" s="5" t="s">
        <v>18</v>
      </c>
      <c r="B12" s="5" t="n">
        <f aca="false">COUNTIFS(Roadmap!$B$5:$B$300,$A12,Roadmap!$E$5:$E$300,"Done")</f>
        <v>0</v>
      </c>
      <c r="C12" s="5" t="n">
        <f aca="false">COUNTIFS(Roadmap!$B$5:$B$300,$A12,Roadmap!$E$5:$E$300,"In progress")</f>
        <v>0</v>
      </c>
      <c r="D12" s="5" t="n">
        <f aca="false">COUNTIFS(Roadmap!$B$5:$B$300,$A12,Roadmap!$E$5:$E$300,"Next")</f>
        <v>0</v>
      </c>
      <c r="E12" s="5" t="n">
        <f aca="false">COUNTIFS(Roadmap!$B$5:$B$300,$A12,Roadmap!$E$5:$E$300,"Planned")</f>
        <v>0</v>
      </c>
      <c r="F12" s="5" t="n">
        <f aca="false">COUNTIFS(Roadmap!$B$5:$B$300,$A12,Roadmap!$E$5:$E$300,"Later")</f>
        <v>1</v>
      </c>
      <c r="G12" s="5" t="n">
        <f aca="false">COUNTIFS(Roadmap!$B$5:$B$300,$A12,Roadmap!$E$5:$E$300,"Waiting on Giovanni")</f>
        <v>0</v>
      </c>
      <c r="H12" s="5" t="n">
        <f aca="false">COUNTIF(Roadmap!$B$5:$B$300,$A12)</f>
        <v>1</v>
      </c>
      <c r="I12" s="6" t="n">
        <f aca="false">IF(H12=0,0,B12/H12)</f>
        <v>0</v>
      </c>
    </row>
    <row r="13" customFormat="false" ht="15" hidden="false" customHeight="true" outlineLevel="0" collapsed="false">
      <c r="A13" s="5" t="s">
        <v>19</v>
      </c>
      <c r="B13" s="5" t="n">
        <f aca="false">COUNTIFS(Roadmap!$B$5:$B$300,$A13,Roadmap!$E$5:$E$300,"Done")</f>
        <v>0</v>
      </c>
      <c r="C13" s="5" t="n">
        <f aca="false">COUNTIFS(Roadmap!$B$5:$B$300,$A13,Roadmap!$E$5:$E$300,"In progress")</f>
        <v>0</v>
      </c>
      <c r="D13" s="5" t="n">
        <f aca="false">COUNTIFS(Roadmap!$B$5:$B$300,$A13,Roadmap!$E$5:$E$300,"Next")</f>
        <v>6</v>
      </c>
      <c r="E13" s="5" t="n">
        <f aca="false">COUNTIFS(Roadmap!$B$5:$B$300,$A13,Roadmap!$E$5:$E$300,"Planned")</f>
        <v>1</v>
      </c>
      <c r="F13" s="5" t="n">
        <f aca="false">COUNTIFS(Roadmap!$B$5:$B$300,$A13,Roadmap!$E$5:$E$300,"Later")</f>
        <v>0</v>
      </c>
      <c r="G13" s="5" t="n">
        <f aca="false">COUNTIFS(Roadmap!$B$5:$B$300,$A13,Roadmap!$E$5:$E$300,"Waiting on Giovanni")</f>
        <v>0</v>
      </c>
      <c r="H13" s="5" t="n">
        <f aca="false">COUNTIF(Roadmap!$B$5:$B$300,$A13)</f>
        <v>7</v>
      </c>
      <c r="I13" s="6" t="n">
        <f aca="false">IF(H13=0,0,B13/H13)</f>
        <v>0</v>
      </c>
    </row>
    <row r="14" customFormat="false" ht="15" hidden="false" customHeight="true" outlineLevel="0" collapsed="false">
      <c r="A14" s="7" t="s">
        <v>20</v>
      </c>
      <c r="B14" s="7" t="n">
        <f aca="false">SUM(B5:B13)</f>
        <v>24</v>
      </c>
      <c r="C14" s="7" t="n">
        <f aca="false">SUM(C5:C13)</f>
        <v>0</v>
      </c>
      <c r="D14" s="7" t="n">
        <f aca="false">SUM(D5:D13)</f>
        <v>10</v>
      </c>
      <c r="E14" s="7" t="n">
        <f aca="false">SUM(E5:E13)</f>
        <v>16</v>
      </c>
      <c r="F14" s="7" t="n">
        <f aca="false">SUM(F5:F13)</f>
        <v>7</v>
      </c>
      <c r="G14" s="7" t="n">
        <f aca="false">SUM(G5:G13)</f>
        <v>4</v>
      </c>
      <c r="H14" s="7" t="n">
        <f aca="false">SUM(H5:H13)</f>
        <v>61</v>
      </c>
      <c r="I14" s="8" t="n">
        <f aca="false">IF(H14=0,0,B14/H14)</f>
        <v>0.39344262295082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62"/>
    <col collapsed="false" customWidth="true" hidden="false" outlineLevel="0" max="5" min="5" style="1" width="19"/>
    <col collapsed="false" customWidth="true" hidden="false" outlineLevel="0" max="6" min="6" style="1" width="10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2" t="s">
        <v>21</v>
      </c>
    </row>
    <row r="2" customFormat="false" ht="15" hidden="false" customHeight="true" outlineLevel="0" collapsed="false">
      <c r="A2" s="3" t="s">
        <v>22</v>
      </c>
    </row>
    <row r="4" customFormat="false" ht="15" hidden="false" customHeight="true" outlineLevel="0" collapsed="false">
      <c r="A4" s="9" t="s">
        <v>23</v>
      </c>
      <c r="B4" s="9" t="s">
        <v>2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</row>
    <row r="5" customFormat="false" ht="15" hidden="false" customHeight="true" outlineLevel="0" collapsed="false">
      <c r="A5" s="10" t="n">
        <v>1</v>
      </c>
      <c r="B5" s="10" t="s">
        <v>11</v>
      </c>
      <c r="C5" s="10" t="s">
        <v>29</v>
      </c>
      <c r="D5" s="10" t="s">
        <v>30</v>
      </c>
      <c r="E5" s="10" t="s">
        <v>3</v>
      </c>
      <c r="F5" s="10" t="s">
        <v>31</v>
      </c>
      <c r="G5" s="10" t="s">
        <v>32</v>
      </c>
    </row>
    <row r="6" customFormat="false" ht="15" hidden="false" customHeight="true" outlineLevel="0" collapsed="false">
      <c r="A6" s="10" t="n">
        <v>2</v>
      </c>
      <c r="B6" s="10" t="s">
        <v>11</v>
      </c>
      <c r="C6" s="10" t="s">
        <v>33</v>
      </c>
      <c r="D6" s="10" t="s">
        <v>34</v>
      </c>
      <c r="E6" s="10" t="s">
        <v>3</v>
      </c>
      <c r="F6" s="10" t="s">
        <v>31</v>
      </c>
      <c r="G6" s="10"/>
    </row>
    <row r="7" customFormat="false" ht="26.25" hidden="false" customHeight="true" outlineLevel="0" collapsed="false">
      <c r="A7" s="10" t="n">
        <v>3</v>
      </c>
      <c r="B7" s="10" t="s">
        <v>11</v>
      </c>
      <c r="C7" s="10" t="s">
        <v>35</v>
      </c>
      <c r="D7" s="10" t="s">
        <v>36</v>
      </c>
      <c r="E7" s="10" t="s">
        <v>3</v>
      </c>
      <c r="F7" s="10" t="s">
        <v>31</v>
      </c>
      <c r="G7" s="10" t="s">
        <v>37</v>
      </c>
    </row>
    <row r="8" customFormat="false" ht="15" hidden="false" customHeight="true" outlineLevel="0" collapsed="false">
      <c r="A8" s="10" t="n">
        <v>4</v>
      </c>
      <c r="B8" s="10" t="s">
        <v>11</v>
      </c>
      <c r="C8" s="10" t="s">
        <v>35</v>
      </c>
      <c r="D8" s="10" t="s">
        <v>38</v>
      </c>
      <c r="E8" s="10" t="s">
        <v>3</v>
      </c>
      <c r="F8" s="10" t="s">
        <v>39</v>
      </c>
      <c r="G8" s="10"/>
    </row>
    <row r="9" customFormat="false" ht="26.25" hidden="false" customHeight="true" outlineLevel="0" collapsed="false">
      <c r="A9" s="10" t="n">
        <v>5</v>
      </c>
      <c r="B9" s="10" t="s">
        <v>11</v>
      </c>
      <c r="C9" s="10" t="s">
        <v>40</v>
      </c>
      <c r="D9" s="10" t="s">
        <v>41</v>
      </c>
      <c r="E9" s="10" t="s">
        <v>3</v>
      </c>
      <c r="F9" s="10" t="s">
        <v>39</v>
      </c>
      <c r="G9" s="10" t="s">
        <v>42</v>
      </c>
    </row>
    <row r="10" customFormat="false" ht="26.25" hidden="false" customHeight="true" outlineLevel="0" collapsed="false">
      <c r="A10" s="10" t="n">
        <v>6</v>
      </c>
      <c r="B10" s="10" t="s">
        <v>11</v>
      </c>
      <c r="C10" s="10" t="s">
        <v>40</v>
      </c>
      <c r="D10" s="10" t="s">
        <v>43</v>
      </c>
      <c r="E10" s="10" t="s">
        <v>3</v>
      </c>
      <c r="F10" s="10" t="s">
        <v>39</v>
      </c>
      <c r="G10" s="10" t="s">
        <v>44</v>
      </c>
    </row>
    <row r="11" customFormat="false" ht="26.25" hidden="false" customHeight="true" outlineLevel="0" collapsed="false">
      <c r="A11" s="10" t="n">
        <v>7</v>
      </c>
      <c r="B11" s="10" t="s">
        <v>11</v>
      </c>
      <c r="C11" s="10" t="s">
        <v>40</v>
      </c>
      <c r="D11" s="10" t="s">
        <v>45</v>
      </c>
      <c r="E11" s="10" t="s">
        <v>3</v>
      </c>
      <c r="F11" s="10" t="s">
        <v>39</v>
      </c>
      <c r="G11" s="10" t="s">
        <v>46</v>
      </c>
    </row>
    <row r="12" customFormat="false" ht="26.25" hidden="false" customHeight="true" outlineLevel="0" collapsed="false">
      <c r="A12" s="10" t="n">
        <v>8</v>
      </c>
      <c r="B12" s="10" t="s">
        <v>11</v>
      </c>
      <c r="C12" s="10" t="s">
        <v>40</v>
      </c>
      <c r="D12" s="10" t="s">
        <v>47</v>
      </c>
      <c r="E12" s="10" t="s">
        <v>3</v>
      </c>
      <c r="F12" s="10" t="s">
        <v>39</v>
      </c>
      <c r="G12" s="10" t="s">
        <v>48</v>
      </c>
    </row>
    <row r="13" customFormat="false" ht="15" hidden="false" customHeight="true" outlineLevel="0" collapsed="false">
      <c r="A13" s="10" t="n">
        <v>9</v>
      </c>
      <c r="B13" s="10" t="s">
        <v>11</v>
      </c>
      <c r="C13" s="10" t="s">
        <v>40</v>
      </c>
      <c r="D13" s="10" t="s">
        <v>49</v>
      </c>
      <c r="E13" s="10" t="s">
        <v>3</v>
      </c>
      <c r="F13" s="10" t="s">
        <v>39</v>
      </c>
      <c r="G13" s="10" t="s">
        <v>50</v>
      </c>
    </row>
    <row r="14" customFormat="false" ht="15" hidden="false" customHeight="true" outlineLevel="0" collapsed="false">
      <c r="A14" s="10" t="n">
        <v>10</v>
      </c>
      <c r="B14" s="10" t="s">
        <v>11</v>
      </c>
      <c r="C14" s="10" t="s">
        <v>40</v>
      </c>
      <c r="D14" s="10" t="s">
        <v>51</v>
      </c>
      <c r="E14" s="10" t="s">
        <v>3</v>
      </c>
      <c r="F14" s="10" t="s">
        <v>39</v>
      </c>
      <c r="G14" s="10" t="s">
        <v>52</v>
      </c>
    </row>
    <row r="15" customFormat="false" ht="15" hidden="false" customHeight="true" outlineLevel="0" collapsed="false">
      <c r="A15" s="10" t="n">
        <v>11</v>
      </c>
      <c r="B15" s="10" t="s">
        <v>11</v>
      </c>
      <c r="C15" s="10" t="s">
        <v>40</v>
      </c>
      <c r="D15" s="10" t="s">
        <v>53</v>
      </c>
      <c r="E15" s="10" t="s">
        <v>3</v>
      </c>
      <c r="F15" s="10" t="s">
        <v>31</v>
      </c>
      <c r="G15" s="10"/>
    </row>
    <row r="16" customFormat="false" ht="26.25" hidden="false" customHeight="true" outlineLevel="0" collapsed="false">
      <c r="A16" s="10" t="n">
        <v>12</v>
      </c>
      <c r="B16" s="10" t="s">
        <v>11</v>
      </c>
      <c r="C16" s="10" t="s">
        <v>40</v>
      </c>
      <c r="D16" s="10" t="s">
        <v>54</v>
      </c>
      <c r="E16" s="10" t="s">
        <v>3</v>
      </c>
      <c r="F16" s="10" t="s">
        <v>31</v>
      </c>
      <c r="G16" s="10" t="s">
        <v>55</v>
      </c>
    </row>
    <row r="17" customFormat="false" ht="15" hidden="false" customHeight="true" outlineLevel="0" collapsed="false">
      <c r="A17" s="10" t="n">
        <v>13</v>
      </c>
      <c r="B17" s="10" t="s">
        <v>11</v>
      </c>
      <c r="C17" s="10" t="s">
        <v>56</v>
      </c>
      <c r="D17" s="10" t="s">
        <v>57</v>
      </c>
      <c r="E17" s="10" t="s">
        <v>3</v>
      </c>
      <c r="F17" s="10" t="s">
        <v>39</v>
      </c>
      <c r="G17" s="10"/>
    </row>
    <row r="18" customFormat="false" ht="15" hidden="false" customHeight="true" outlineLevel="0" collapsed="false">
      <c r="A18" s="10" t="n">
        <v>14</v>
      </c>
      <c r="B18" s="10" t="s">
        <v>11</v>
      </c>
      <c r="C18" s="10" t="s">
        <v>58</v>
      </c>
      <c r="D18" s="10" t="s">
        <v>59</v>
      </c>
      <c r="E18" s="10" t="s">
        <v>3</v>
      </c>
      <c r="F18" s="10" t="s">
        <v>31</v>
      </c>
      <c r="G18" s="10" t="s">
        <v>60</v>
      </c>
    </row>
    <row r="19" customFormat="false" ht="15" hidden="false" customHeight="true" outlineLevel="0" collapsed="false">
      <c r="A19" s="10" t="n">
        <v>15</v>
      </c>
      <c r="B19" s="10" t="s">
        <v>11</v>
      </c>
      <c r="C19" s="10" t="s">
        <v>61</v>
      </c>
      <c r="D19" s="10" t="s">
        <v>62</v>
      </c>
      <c r="E19" s="10" t="s">
        <v>3</v>
      </c>
      <c r="F19" s="10" t="s">
        <v>39</v>
      </c>
      <c r="G19" s="10" t="s">
        <v>63</v>
      </c>
    </row>
    <row r="20" customFormat="false" ht="15" hidden="false" customHeight="true" outlineLevel="0" collapsed="false">
      <c r="A20" s="10" t="n">
        <v>16</v>
      </c>
      <c r="B20" s="10" t="s">
        <v>11</v>
      </c>
      <c r="C20" s="10" t="s">
        <v>64</v>
      </c>
      <c r="D20" s="10" t="s">
        <v>65</v>
      </c>
      <c r="E20" s="10" t="s">
        <v>3</v>
      </c>
      <c r="F20" s="10" t="s">
        <v>31</v>
      </c>
      <c r="G20" s="10"/>
    </row>
    <row r="21" customFormat="false" ht="15" hidden="false" customHeight="true" outlineLevel="0" collapsed="false">
      <c r="A21" s="10" t="n">
        <v>17</v>
      </c>
      <c r="B21" s="10" t="s">
        <v>11</v>
      </c>
      <c r="C21" s="10" t="s">
        <v>64</v>
      </c>
      <c r="D21" s="10" t="s">
        <v>66</v>
      </c>
      <c r="E21" s="10" t="s">
        <v>3</v>
      </c>
      <c r="F21" s="10" t="s">
        <v>31</v>
      </c>
      <c r="G21" s="10"/>
    </row>
    <row r="22" customFormat="false" ht="15" hidden="false" customHeight="true" outlineLevel="0" collapsed="false">
      <c r="A22" s="10" t="n">
        <v>18</v>
      </c>
      <c r="B22" s="10" t="s">
        <v>11</v>
      </c>
      <c r="C22" s="10" t="s">
        <v>67</v>
      </c>
      <c r="D22" s="10" t="s">
        <v>68</v>
      </c>
      <c r="E22" s="10" t="s">
        <v>3</v>
      </c>
      <c r="F22" s="10" t="s">
        <v>31</v>
      </c>
      <c r="G22" s="10"/>
    </row>
    <row r="23" customFormat="false" ht="15" hidden="false" customHeight="true" outlineLevel="0" collapsed="false">
      <c r="A23" s="10" t="n">
        <v>19</v>
      </c>
      <c r="B23" s="10" t="s">
        <v>11</v>
      </c>
      <c r="C23" s="10" t="s">
        <v>67</v>
      </c>
      <c r="D23" s="10" t="s">
        <v>69</v>
      </c>
      <c r="E23" s="10" t="s">
        <v>3</v>
      </c>
      <c r="F23" s="10" t="s">
        <v>70</v>
      </c>
      <c r="G23" s="10"/>
    </row>
    <row r="24" customFormat="false" ht="15" hidden="false" customHeight="true" outlineLevel="0" collapsed="false">
      <c r="A24" s="10" t="n">
        <v>20</v>
      </c>
      <c r="B24" s="10" t="s">
        <v>11</v>
      </c>
      <c r="C24" s="10" t="s">
        <v>71</v>
      </c>
      <c r="D24" s="10" t="s">
        <v>72</v>
      </c>
      <c r="E24" s="10" t="s">
        <v>3</v>
      </c>
      <c r="F24" s="10" t="s">
        <v>31</v>
      </c>
      <c r="G24" s="10"/>
    </row>
    <row r="25" customFormat="false" ht="26.25" hidden="false" customHeight="true" outlineLevel="0" collapsed="false">
      <c r="A25" s="10" t="n">
        <v>21</v>
      </c>
      <c r="B25" s="10" t="s">
        <v>11</v>
      </c>
      <c r="C25" s="10" t="s">
        <v>67</v>
      </c>
      <c r="D25" s="10" t="s">
        <v>73</v>
      </c>
      <c r="E25" s="10" t="s">
        <v>8</v>
      </c>
      <c r="F25" s="10" t="s">
        <v>70</v>
      </c>
      <c r="G25" s="10" t="s">
        <v>74</v>
      </c>
    </row>
    <row r="26" customFormat="false" ht="26.25" hidden="false" customHeight="true" outlineLevel="0" collapsed="false">
      <c r="A26" s="10" t="n">
        <v>22</v>
      </c>
      <c r="B26" s="10" t="s">
        <v>11</v>
      </c>
      <c r="C26" s="10" t="s">
        <v>67</v>
      </c>
      <c r="D26" s="10" t="s">
        <v>75</v>
      </c>
      <c r="E26" s="10" t="s">
        <v>8</v>
      </c>
      <c r="F26" s="10" t="s">
        <v>70</v>
      </c>
      <c r="G26" s="10" t="s">
        <v>76</v>
      </c>
    </row>
    <row r="27" customFormat="false" ht="15" hidden="false" customHeight="true" outlineLevel="0" collapsed="false">
      <c r="A27" s="10" t="n">
        <v>23</v>
      </c>
      <c r="B27" s="10" t="s">
        <v>12</v>
      </c>
      <c r="C27" s="10" t="s">
        <v>77</v>
      </c>
      <c r="D27" s="10" t="s">
        <v>78</v>
      </c>
      <c r="E27" s="10" t="s">
        <v>5</v>
      </c>
      <c r="F27" s="10" t="s">
        <v>31</v>
      </c>
      <c r="G27" s="10" t="s">
        <v>79</v>
      </c>
    </row>
    <row r="28" customFormat="false" ht="15" hidden="false" customHeight="true" outlineLevel="0" collapsed="false">
      <c r="A28" s="10" t="n">
        <v>24</v>
      </c>
      <c r="B28" s="10" t="s">
        <v>12</v>
      </c>
      <c r="C28" s="10" t="s">
        <v>77</v>
      </c>
      <c r="D28" s="10" t="s">
        <v>80</v>
      </c>
      <c r="E28" s="10" t="s">
        <v>5</v>
      </c>
      <c r="F28" s="10" t="s">
        <v>31</v>
      </c>
      <c r="G28" s="10"/>
    </row>
    <row r="29" customFormat="false" ht="26.25" hidden="false" customHeight="true" outlineLevel="0" collapsed="false">
      <c r="A29" s="10" t="n">
        <v>25</v>
      </c>
      <c r="B29" s="10" t="s">
        <v>12</v>
      </c>
      <c r="C29" s="10" t="s">
        <v>81</v>
      </c>
      <c r="D29" s="10" t="s">
        <v>82</v>
      </c>
      <c r="E29" s="10" t="s">
        <v>6</v>
      </c>
      <c r="F29" s="10" t="s">
        <v>31</v>
      </c>
      <c r="G29" s="10" t="s">
        <v>83</v>
      </c>
    </row>
    <row r="30" customFormat="false" ht="15" hidden="false" customHeight="true" outlineLevel="0" collapsed="false">
      <c r="A30" s="10" t="n">
        <v>26</v>
      </c>
      <c r="B30" s="10" t="s">
        <v>12</v>
      </c>
      <c r="C30" s="10" t="s">
        <v>84</v>
      </c>
      <c r="D30" s="10" t="s">
        <v>85</v>
      </c>
      <c r="E30" s="10" t="s">
        <v>6</v>
      </c>
      <c r="F30" s="10" t="s">
        <v>39</v>
      </c>
      <c r="G30" s="10"/>
    </row>
    <row r="31" customFormat="false" ht="15" hidden="false" customHeight="true" outlineLevel="0" collapsed="false">
      <c r="A31" s="10" t="n">
        <v>27</v>
      </c>
      <c r="B31" s="10" t="s">
        <v>12</v>
      </c>
      <c r="C31" s="10" t="s">
        <v>84</v>
      </c>
      <c r="D31" s="10" t="s">
        <v>86</v>
      </c>
      <c r="E31" s="10" t="s">
        <v>6</v>
      </c>
      <c r="F31" s="10" t="s">
        <v>31</v>
      </c>
      <c r="G31" s="10"/>
    </row>
    <row r="32" customFormat="false" ht="15" hidden="false" customHeight="true" outlineLevel="0" collapsed="false">
      <c r="A32" s="10" t="n">
        <v>28</v>
      </c>
      <c r="B32" s="10" t="s">
        <v>12</v>
      </c>
      <c r="C32" s="10" t="s">
        <v>84</v>
      </c>
      <c r="D32" s="10" t="s">
        <v>87</v>
      </c>
      <c r="E32" s="10" t="s">
        <v>6</v>
      </c>
      <c r="F32" s="10" t="s">
        <v>31</v>
      </c>
      <c r="G32" s="10"/>
    </row>
    <row r="33" customFormat="false" ht="26.25" hidden="false" customHeight="true" outlineLevel="0" collapsed="false">
      <c r="A33" s="10" t="n">
        <v>29</v>
      </c>
      <c r="B33" s="10" t="s">
        <v>12</v>
      </c>
      <c r="C33" s="10" t="s">
        <v>81</v>
      </c>
      <c r="D33" s="10" t="s">
        <v>88</v>
      </c>
      <c r="E33" s="10" t="s">
        <v>6</v>
      </c>
      <c r="F33" s="10" t="s">
        <v>31</v>
      </c>
      <c r="G33" s="10"/>
    </row>
    <row r="34" customFormat="false" ht="15" hidden="false" customHeight="true" outlineLevel="0" collapsed="false">
      <c r="A34" s="10" t="n">
        <v>30</v>
      </c>
      <c r="B34" s="10" t="s">
        <v>12</v>
      </c>
      <c r="C34" s="10" t="s">
        <v>71</v>
      </c>
      <c r="D34" s="10" t="s">
        <v>89</v>
      </c>
      <c r="E34" s="10" t="s">
        <v>6</v>
      </c>
      <c r="F34" s="10" t="s">
        <v>39</v>
      </c>
      <c r="G34" s="10"/>
    </row>
    <row r="35" customFormat="false" ht="26.25" hidden="false" customHeight="true" outlineLevel="0" collapsed="false">
      <c r="A35" s="10" t="n">
        <v>31</v>
      </c>
      <c r="B35" s="10" t="s">
        <v>12</v>
      </c>
      <c r="C35" s="10" t="s">
        <v>71</v>
      </c>
      <c r="D35" s="10" t="s">
        <v>90</v>
      </c>
      <c r="E35" s="10" t="s">
        <v>6</v>
      </c>
      <c r="F35" s="10" t="s">
        <v>39</v>
      </c>
      <c r="G35" s="10" t="s">
        <v>91</v>
      </c>
    </row>
    <row r="36" customFormat="false" ht="15" hidden="false" customHeight="true" outlineLevel="0" collapsed="false">
      <c r="A36" s="10" t="n">
        <v>32</v>
      </c>
      <c r="B36" s="10" t="s">
        <v>12</v>
      </c>
      <c r="C36" s="10" t="s">
        <v>71</v>
      </c>
      <c r="D36" s="10" t="s">
        <v>92</v>
      </c>
      <c r="E36" s="10" t="s">
        <v>6</v>
      </c>
      <c r="F36" s="10" t="s">
        <v>31</v>
      </c>
      <c r="G36" s="10" t="s">
        <v>93</v>
      </c>
    </row>
    <row r="37" customFormat="false" ht="15" hidden="false" customHeight="true" outlineLevel="0" collapsed="false">
      <c r="A37" s="10" t="n">
        <v>33</v>
      </c>
      <c r="B37" s="10" t="s">
        <v>13</v>
      </c>
      <c r="C37" s="10" t="s">
        <v>29</v>
      </c>
      <c r="D37" s="10" t="s">
        <v>94</v>
      </c>
      <c r="E37" s="10" t="s">
        <v>6</v>
      </c>
      <c r="F37" s="10" t="s">
        <v>31</v>
      </c>
      <c r="G37" s="10" t="s">
        <v>95</v>
      </c>
    </row>
    <row r="38" customFormat="false" ht="26.25" hidden="false" customHeight="true" outlineLevel="0" collapsed="false">
      <c r="A38" s="10" t="n">
        <v>34</v>
      </c>
      <c r="B38" s="10" t="s">
        <v>13</v>
      </c>
      <c r="C38" s="10" t="s">
        <v>29</v>
      </c>
      <c r="D38" s="10" t="s">
        <v>96</v>
      </c>
      <c r="E38" s="10" t="s">
        <v>6</v>
      </c>
      <c r="F38" s="10" t="s">
        <v>39</v>
      </c>
      <c r="G38" s="10" t="s">
        <v>97</v>
      </c>
    </row>
    <row r="39" customFormat="false" ht="15" hidden="false" customHeight="true" outlineLevel="0" collapsed="false">
      <c r="A39" s="10" t="n">
        <v>35</v>
      </c>
      <c r="B39" s="10" t="s">
        <v>14</v>
      </c>
      <c r="C39" s="10" t="s">
        <v>98</v>
      </c>
      <c r="D39" s="10" t="s">
        <v>99</v>
      </c>
      <c r="E39" s="10" t="s">
        <v>6</v>
      </c>
      <c r="F39" s="10" t="s">
        <v>31</v>
      </c>
      <c r="G39" s="10"/>
    </row>
    <row r="40" customFormat="false" ht="15" hidden="false" customHeight="true" outlineLevel="0" collapsed="false">
      <c r="A40" s="10" t="n">
        <v>36</v>
      </c>
      <c r="B40" s="10" t="s">
        <v>14</v>
      </c>
      <c r="C40" s="10" t="s">
        <v>98</v>
      </c>
      <c r="D40" s="10" t="s">
        <v>100</v>
      </c>
      <c r="E40" s="10" t="s">
        <v>6</v>
      </c>
      <c r="F40" s="10" t="s">
        <v>31</v>
      </c>
      <c r="G40" s="10"/>
    </row>
    <row r="41" customFormat="false" ht="15" hidden="false" customHeight="true" outlineLevel="0" collapsed="false">
      <c r="A41" s="10" t="n">
        <v>37</v>
      </c>
      <c r="B41" s="10" t="s">
        <v>14</v>
      </c>
      <c r="C41" s="10" t="s">
        <v>98</v>
      </c>
      <c r="D41" s="10" t="s">
        <v>101</v>
      </c>
      <c r="E41" s="10" t="s">
        <v>6</v>
      </c>
      <c r="F41" s="10" t="s">
        <v>31</v>
      </c>
      <c r="G41" s="10"/>
    </row>
    <row r="42" customFormat="false" ht="15" hidden="false" customHeight="true" outlineLevel="0" collapsed="false">
      <c r="A42" s="10" t="n">
        <v>38</v>
      </c>
      <c r="B42" s="10" t="s">
        <v>15</v>
      </c>
      <c r="C42" s="10" t="s">
        <v>58</v>
      </c>
      <c r="D42" s="10" t="s">
        <v>102</v>
      </c>
      <c r="E42" s="10" t="s">
        <v>7</v>
      </c>
      <c r="F42" s="10" t="s">
        <v>39</v>
      </c>
      <c r="G42" s="10"/>
    </row>
    <row r="43" customFormat="false" ht="15" hidden="false" customHeight="true" outlineLevel="0" collapsed="false">
      <c r="A43" s="10" t="n">
        <v>39</v>
      </c>
      <c r="B43" s="10" t="s">
        <v>15</v>
      </c>
      <c r="C43" s="10" t="s">
        <v>103</v>
      </c>
      <c r="D43" s="10" t="s">
        <v>104</v>
      </c>
      <c r="E43" s="10" t="s">
        <v>7</v>
      </c>
      <c r="F43" s="10" t="s">
        <v>39</v>
      </c>
      <c r="G43" s="10"/>
    </row>
    <row r="44" customFormat="false" ht="26.25" hidden="false" customHeight="true" outlineLevel="0" collapsed="false">
      <c r="A44" s="10" t="n">
        <v>40</v>
      </c>
      <c r="B44" s="10" t="s">
        <v>15</v>
      </c>
      <c r="C44" s="10" t="s">
        <v>56</v>
      </c>
      <c r="D44" s="10" t="s">
        <v>105</v>
      </c>
      <c r="E44" s="10" t="s">
        <v>8</v>
      </c>
      <c r="F44" s="10" t="s">
        <v>70</v>
      </c>
      <c r="G44" s="10"/>
    </row>
    <row r="45" customFormat="false" ht="15" hidden="false" customHeight="true" outlineLevel="0" collapsed="false">
      <c r="A45" s="10" t="n">
        <v>41</v>
      </c>
      <c r="B45" s="10" t="s">
        <v>15</v>
      </c>
      <c r="C45" s="10" t="s">
        <v>106</v>
      </c>
      <c r="D45" s="10" t="s">
        <v>107</v>
      </c>
      <c r="E45" s="10" t="s">
        <v>7</v>
      </c>
      <c r="F45" s="10" t="s">
        <v>39</v>
      </c>
      <c r="G45" s="10"/>
    </row>
    <row r="46" customFormat="false" ht="15" hidden="false" customHeight="true" outlineLevel="0" collapsed="false">
      <c r="A46" s="10" t="n">
        <v>42</v>
      </c>
      <c r="B46" s="10" t="s">
        <v>16</v>
      </c>
      <c r="C46" s="10" t="s">
        <v>64</v>
      </c>
      <c r="D46" s="10" t="s">
        <v>108</v>
      </c>
      <c r="E46" s="10" t="s">
        <v>7</v>
      </c>
      <c r="F46" s="10" t="s">
        <v>39</v>
      </c>
      <c r="G46" s="10" t="s">
        <v>109</v>
      </c>
    </row>
    <row r="47" customFormat="false" ht="15" hidden="false" customHeight="true" outlineLevel="0" collapsed="false">
      <c r="A47" s="10" t="n">
        <v>43</v>
      </c>
      <c r="B47" s="10" t="s">
        <v>16</v>
      </c>
      <c r="C47" s="10" t="s">
        <v>64</v>
      </c>
      <c r="D47" s="10" t="s">
        <v>110</v>
      </c>
      <c r="E47" s="10" t="s">
        <v>7</v>
      </c>
      <c r="F47" s="10" t="s">
        <v>39</v>
      </c>
      <c r="G47" s="10"/>
    </row>
    <row r="48" customFormat="false" ht="15" hidden="false" customHeight="true" outlineLevel="0" collapsed="false">
      <c r="A48" s="10" t="n">
        <v>44</v>
      </c>
      <c r="B48" s="10" t="s">
        <v>17</v>
      </c>
      <c r="C48" s="10" t="s">
        <v>111</v>
      </c>
      <c r="D48" s="10" t="s">
        <v>112</v>
      </c>
      <c r="E48" s="10" t="s">
        <v>7</v>
      </c>
      <c r="F48" s="10" t="s">
        <v>39</v>
      </c>
      <c r="G48" s="10" t="s">
        <v>113</v>
      </c>
    </row>
    <row r="49" customFormat="false" ht="15" hidden="false" customHeight="true" outlineLevel="0" collapsed="false">
      <c r="A49" s="10" t="n">
        <v>45</v>
      </c>
      <c r="B49" s="10" t="s">
        <v>18</v>
      </c>
      <c r="C49" s="10" t="s">
        <v>114</v>
      </c>
      <c r="D49" s="10" t="s">
        <v>115</v>
      </c>
      <c r="E49" s="10" t="s">
        <v>7</v>
      </c>
      <c r="F49" s="10" t="s">
        <v>39</v>
      </c>
      <c r="G49" s="10" t="s">
        <v>116</v>
      </c>
    </row>
    <row r="50" customFormat="false" ht="15" hidden="false" customHeight="true" outlineLevel="0" collapsed="false">
      <c r="A50" s="10" t="n">
        <v>46</v>
      </c>
      <c r="B50" s="10" t="s">
        <v>19</v>
      </c>
      <c r="C50" s="10" t="s">
        <v>117</v>
      </c>
      <c r="D50" s="10" t="s">
        <v>118</v>
      </c>
      <c r="E50" s="10" t="s">
        <v>5</v>
      </c>
      <c r="F50" s="10" t="s">
        <v>70</v>
      </c>
      <c r="G50" s="10" t="s">
        <v>119</v>
      </c>
    </row>
    <row r="51" customFormat="false" ht="26.25" hidden="false" customHeight="true" outlineLevel="0" collapsed="false">
      <c r="A51" s="10" t="n">
        <v>47</v>
      </c>
      <c r="B51" s="10" t="s">
        <v>19</v>
      </c>
      <c r="C51" s="10" t="s">
        <v>117</v>
      </c>
      <c r="D51" s="10" t="s">
        <v>120</v>
      </c>
      <c r="E51" s="10" t="s">
        <v>5</v>
      </c>
      <c r="F51" s="10" t="s">
        <v>31</v>
      </c>
      <c r="G51" s="10" t="s">
        <v>121</v>
      </c>
    </row>
    <row r="52" customFormat="false" ht="15" hidden="false" customHeight="true" outlineLevel="0" collapsed="false">
      <c r="A52" s="10" t="n">
        <v>48</v>
      </c>
      <c r="B52" s="10" t="s">
        <v>19</v>
      </c>
      <c r="C52" s="10" t="s">
        <v>117</v>
      </c>
      <c r="D52" s="10" t="s">
        <v>122</v>
      </c>
      <c r="E52" s="10" t="s">
        <v>5</v>
      </c>
      <c r="F52" s="10" t="s">
        <v>31</v>
      </c>
      <c r="G52" s="10"/>
    </row>
    <row r="53" customFormat="false" ht="15" hidden="false" customHeight="true" outlineLevel="0" collapsed="false">
      <c r="A53" s="10" t="n">
        <v>49</v>
      </c>
      <c r="B53" s="10" t="s">
        <v>19</v>
      </c>
      <c r="C53" s="10" t="s">
        <v>33</v>
      </c>
      <c r="D53" s="10" t="s">
        <v>123</v>
      </c>
      <c r="E53" s="10" t="s">
        <v>5</v>
      </c>
      <c r="F53" s="10" t="s">
        <v>70</v>
      </c>
      <c r="G53" s="10" t="s">
        <v>124</v>
      </c>
    </row>
    <row r="54" customFormat="false" ht="15" hidden="false" customHeight="true" outlineLevel="0" collapsed="false">
      <c r="A54" s="10" t="n">
        <v>50</v>
      </c>
      <c r="B54" s="10" t="s">
        <v>19</v>
      </c>
      <c r="C54" s="10" t="s">
        <v>33</v>
      </c>
      <c r="D54" s="10" t="s">
        <v>125</v>
      </c>
      <c r="E54" s="10" t="s">
        <v>5</v>
      </c>
      <c r="F54" s="10" t="s">
        <v>31</v>
      </c>
      <c r="G54" s="10" t="s">
        <v>126</v>
      </c>
    </row>
    <row r="55" customFormat="false" ht="15" hidden="false" customHeight="true" outlineLevel="0" collapsed="false">
      <c r="A55" s="10" t="n">
        <v>51</v>
      </c>
      <c r="B55" s="10" t="s">
        <v>19</v>
      </c>
      <c r="C55" s="10" t="s">
        <v>33</v>
      </c>
      <c r="D55" s="10" t="s">
        <v>127</v>
      </c>
      <c r="E55" s="10" t="s">
        <v>5</v>
      </c>
      <c r="F55" s="10" t="s">
        <v>70</v>
      </c>
      <c r="G55" s="10" t="s">
        <v>128</v>
      </c>
    </row>
    <row r="56" customFormat="false" ht="15" hidden="false" customHeight="true" outlineLevel="0" collapsed="false">
      <c r="A56" s="10" t="n">
        <v>52</v>
      </c>
      <c r="B56" s="10" t="s">
        <v>19</v>
      </c>
      <c r="C56" s="10" t="s">
        <v>129</v>
      </c>
      <c r="D56" s="10" t="s">
        <v>130</v>
      </c>
      <c r="E56" s="10" t="s">
        <v>6</v>
      </c>
      <c r="F56" s="10" t="s">
        <v>39</v>
      </c>
      <c r="G56" s="10"/>
    </row>
    <row r="57" customFormat="false" ht="15" hidden="false" customHeight="false" outlineLevel="0" collapsed="false">
      <c r="A57" s="10" t="n">
        <v>53</v>
      </c>
      <c r="B57" s="10" t="s">
        <v>12</v>
      </c>
      <c r="C57" s="10" t="s">
        <v>71</v>
      </c>
      <c r="D57" s="10" t="s">
        <v>131</v>
      </c>
      <c r="E57" s="10" t="s">
        <v>3</v>
      </c>
      <c r="F57" s="10" t="s">
        <v>31</v>
      </c>
      <c r="G57" s="10"/>
    </row>
    <row r="58" customFormat="false" ht="26.85" hidden="false" customHeight="false" outlineLevel="0" collapsed="false">
      <c r="A58" s="10" t="n">
        <v>54</v>
      </c>
      <c r="B58" s="10" t="s">
        <v>12</v>
      </c>
      <c r="C58" s="10" t="s">
        <v>71</v>
      </c>
      <c r="D58" s="10" t="s">
        <v>132</v>
      </c>
      <c r="E58" s="10" t="s">
        <v>3</v>
      </c>
      <c r="F58" s="10" t="s">
        <v>31</v>
      </c>
      <c r="G58" s="10" t="s">
        <v>133</v>
      </c>
    </row>
    <row r="59" customFormat="false" ht="15" hidden="false" customHeight="false" outlineLevel="0" collapsed="false">
      <c r="A59" s="10" t="n">
        <v>55</v>
      </c>
      <c r="B59" s="10" t="s">
        <v>12</v>
      </c>
      <c r="C59" s="10" t="s">
        <v>81</v>
      </c>
      <c r="D59" s="10" t="s">
        <v>134</v>
      </c>
      <c r="E59" s="10" t="s">
        <v>3</v>
      </c>
      <c r="F59" s="10" t="s">
        <v>31</v>
      </c>
      <c r="G59" s="10" t="s">
        <v>135</v>
      </c>
    </row>
    <row r="60" customFormat="false" ht="15" hidden="false" customHeight="false" outlineLevel="0" collapsed="false">
      <c r="A60" s="10" t="n">
        <v>56</v>
      </c>
      <c r="B60" s="10" t="s">
        <v>12</v>
      </c>
      <c r="C60" s="10" t="s">
        <v>84</v>
      </c>
      <c r="D60" s="10" t="s">
        <v>136</v>
      </c>
      <c r="E60" s="10" t="s">
        <v>3</v>
      </c>
      <c r="F60" s="10" t="s">
        <v>31</v>
      </c>
      <c r="G60" s="10"/>
    </row>
    <row r="61" customFormat="false" ht="15" hidden="false" customHeight="false" outlineLevel="0" collapsed="false">
      <c r="A61" s="10" t="n">
        <v>57</v>
      </c>
      <c r="B61" s="10" t="s">
        <v>12</v>
      </c>
      <c r="C61" s="10" t="s">
        <v>71</v>
      </c>
      <c r="D61" s="10" t="s">
        <v>137</v>
      </c>
      <c r="E61" s="10" t="s">
        <v>5</v>
      </c>
      <c r="F61" s="10" t="s">
        <v>31</v>
      </c>
      <c r="G61" s="10"/>
    </row>
    <row r="62" customFormat="false" ht="26.85" hidden="false" customHeight="false" outlineLevel="0" collapsed="false">
      <c r="A62" s="10" t="n">
        <v>58</v>
      </c>
      <c r="B62" s="10" t="s">
        <v>12</v>
      </c>
      <c r="C62" s="10" t="s">
        <v>81</v>
      </c>
      <c r="D62" s="10" t="s">
        <v>138</v>
      </c>
      <c r="E62" s="10" t="s">
        <v>5</v>
      </c>
      <c r="F62" s="10" t="s">
        <v>31</v>
      </c>
      <c r="G62" s="10" t="s">
        <v>139</v>
      </c>
    </row>
    <row r="63" customFormat="false" ht="26.85" hidden="false" customHeight="false" outlineLevel="0" collapsed="false">
      <c r="A63" s="10" t="n">
        <v>59</v>
      </c>
      <c r="B63" s="10" t="s">
        <v>12</v>
      </c>
      <c r="C63" s="10" t="s">
        <v>81</v>
      </c>
      <c r="D63" s="10" t="s">
        <v>140</v>
      </c>
      <c r="E63" s="10" t="s">
        <v>8</v>
      </c>
      <c r="F63" s="10" t="s">
        <v>70</v>
      </c>
      <c r="G63" s="10"/>
    </row>
    <row r="64" customFormat="false" ht="39.55" hidden="false" customHeight="false" outlineLevel="0" collapsed="false">
      <c r="A64" s="10" t="n">
        <v>60</v>
      </c>
      <c r="B64" s="10" t="s">
        <v>12</v>
      </c>
      <c r="C64" s="10" t="s">
        <v>71</v>
      </c>
      <c r="D64" s="10" t="s">
        <v>141</v>
      </c>
      <c r="E64" s="10" t="s">
        <v>6</v>
      </c>
      <c r="F64" s="10" t="s">
        <v>39</v>
      </c>
      <c r="G64" s="10" t="s">
        <v>142</v>
      </c>
    </row>
    <row r="65" customFormat="false" ht="39.55" hidden="false" customHeight="false" outlineLevel="0" collapsed="false">
      <c r="A65" s="10" t="n">
        <v>61</v>
      </c>
      <c r="B65" s="10" t="s">
        <v>12</v>
      </c>
      <c r="C65" s="10" t="s">
        <v>71</v>
      </c>
      <c r="D65" s="10" t="s">
        <v>143</v>
      </c>
      <c r="E65" s="10" t="s">
        <v>6</v>
      </c>
      <c r="F65" s="10" t="s">
        <v>31</v>
      </c>
      <c r="G65" s="10" t="s">
        <v>144</v>
      </c>
    </row>
  </sheetData>
  <autoFilter ref="A4:G65"/>
  <conditionalFormatting sqref="E5:E300">
    <cfRule type="expression" priority="2" aboveAverage="0" equalAverage="0" bottom="0" percent="0" rank="0" text="" dxfId="8">
      <formula>$E5="Done"</formula>
    </cfRule>
    <cfRule type="expression" priority="3" aboveAverage="0" equalAverage="0" bottom="0" percent="0" rank="0" text="" dxfId="9">
      <formula>$E5="In progress"</formula>
    </cfRule>
    <cfRule type="expression" priority="4" aboveAverage="0" equalAverage="0" bottom="0" percent="0" rank="0" text="" dxfId="10">
      <formula>$E5="Next"</formula>
    </cfRule>
    <cfRule type="expression" priority="5" aboveAverage="0" equalAverage="0" bottom="0" percent="0" rank="0" text="" dxfId="11">
      <formula>$E5="Planned"</formula>
    </cfRule>
    <cfRule type="expression" priority="6" aboveAverage="0" equalAverage="0" bottom="0" percent="0" rank="0" text="" dxfId="12">
      <formula>$E5="Later"</formula>
    </cfRule>
    <cfRule type="expression" priority="7" aboveAverage="0" equalAverage="0" bottom="0" percent="0" rank="0" text="" dxfId="13">
      <formula>$E5="Waiting on Giovanni"</formula>
    </cfRule>
  </conditionalFormatting>
  <dataValidations count="3">
    <dataValidation allowBlank="true" errorStyle="stop" operator="between" showDropDown="false" showErrorMessage="false" showInputMessage="false" sqref="E5:E300" type="list">
      <formula1>"Done,In progress,Next,Planned,Later,Waiting on Giovanni"</formula1>
      <formula2>0</formula2>
    </dataValidation>
    <dataValidation allowBlank="true" errorStyle="stop" operator="between" showDropDown="false" showErrorMessage="false" showInputMessage="false" sqref="F5:F300" type="list">
      <formula1>"Claude,Giovanni,Both"</formula1>
      <formula2>0</formula2>
    </dataValidation>
    <dataValidation allowBlank="true" errorStyle="stop" operator="between" showDropDown="false" showErrorMessage="false" showInputMessage="false" sqref="B5:B300" type="list">
      <formula1>Lists!$A$1:$A$9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1" t="s">
        <v>11</v>
      </c>
    </row>
    <row r="2" customFormat="false" ht="15" hidden="false" customHeight="true" outlineLevel="0" collapsed="false">
      <c r="A2" s="11" t="s">
        <v>12</v>
      </c>
    </row>
    <row r="3" customFormat="false" ht="15" hidden="false" customHeight="true" outlineLevel="0" collapsed="false">
      <c r="A3" s="11" t="s">
        <v>13</v>
      </c>
    </row>
    <row r="4" customFormat="false" ht="15" hidden="false" customHeight="true" outlineLevel="0" collapsed="false">
      <c r="A4" s="11" t="s">
        <v>14</v>
      </c>
    </row>
    <row r="5" customFormat="false" ht="15" hidden="false" customHeight="true" outlineLevel="0" collapsed="false">
      <c r="A5" s="11" t="s">
        <v>15</v>
      </c>
    </row>
    <row r="6" customFormat="false" ht="15" hidden="false" customHeight="true" outlineLevel="0" collapsed="false">
      <c r="A6" s="11" t="s">
        <v>16</v>
      </c>
    </row>
    <row r="7" customFormat="false" ht="15" hidden="false" customHeight="true" outlineLevel="0" collapsed="false">
      <c r="A7" s="11" t="s">
        <v>17</v>
      </c>
    </row>
    <row r="8" customFormat="false" ht="15" hidden="false" customHeight="true" outlineLevel="0" collapsed="false">
      <c r="A8" s="11" t="s">
        <v>18</v>
      </c>
    </row>
    <row r="9" customFormat="false" ht="15" hidden="false" customHeight="true" outlineLevel="0" collapsed="false">
      <c r="A9" s="1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2026-10-26T00:56:50Z</dcterms:created>
  <dc:creator>openpyxl</dc:creator>
  <dc:description/>
  <dc:language>en-US</dc:language>
  <cp:lastModifiedBy/>
  <dcterms:modified xsi:type="dcterms:W3CDTF">2026-10-26T01:51:57Z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